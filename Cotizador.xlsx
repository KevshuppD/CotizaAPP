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evsh\OneDrive\Desktop\CotizaAPP\"/>
    </mc:Choice>
  </mc:AlternateContent>
  <xr:revisionPtr revIDLastSave="0" documentId="8_{7E73F7EC-4DB0-4577-9B6D-F6A1A10813E7}" xr6:coauthVersionLast="47" xr6:coauthVersionMax="47" xr10:uidLastSave="{00000000-0000-0000-0000-000000000000}"/>
  <bookViews>
    <workbookView xWindow="-108" yWindow="-108" windowWidth="23256" windowHeight="12576" xr2:uid="{D30FB17A-3C00-455E-8BAD-BDA4B084046E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C12" i="1" l="1"/>
  <c r="C13" i="1"/>
  <c r="D13" i="1" s="1"/>
  <c r="D12" i="1"/>
  <c r="D8" i="1"/>
  <c r="D6" i="1"/>
  <c r="D5" i="1"/>
  <c r="G4" i="1"/>
  <c r="D11" i="1" l="1"/>
  <c r="D10" i="1"/>
</calcChain>
</file>

<file path=xl/sharedStrings.xml><?xml version="1.0" encoding="utf-8"?>
<sst xmlns="http://schemas.openxmlformats.org/spreadsheetml/2006/main" count="18" uniqueCount="18">
  <si>
    <t>Cotizacion derecho de sepultacion anticipada</t>
  </si>
  <si>
    <t>Valor uso inmediato(IVA Incluido)</t>
  </si>
  <si>
    <t>UF</t>
  </si>
  <si>
    <t>$</t>
  </si>
  <si>
    <t>UF HOY</t>
  </si>
  <si>
    <t>FECHA</t>
  </si>
  <si>
    <t>Pie minimo</t>
  </si>
  <si>
    <t>36 Cuotas</t>
  </si>
  <si>
    <t>48 Cuotas</t>
  </si>
  <si>
    <t>12 Cuotas (Fija)</t>
  </si>
  <si>
    <t>24 Cuotas(Fija)</t>
  </si>
  <si>
    <t>Cantidad</t>
  </si>
  <si>
    <t>Parque</t>
  </si>
  <si>
    <t>El manantial</t>
  </si>
  <si>
    <t>Valor referencia por 1 derecho sepultacion</t>
  </si>
  <si>
    <t>15,47 UF (IVA INCLUIDO)</t>
  </si>
  <si>
    <t>3 derecho a sepultacion</t>
  </si>
  <si>
    <t>Valor anticipado(IVA Incluido)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</si>
</sst>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2" formatCode="_ &quot;$&quot;* #,##0_ ;_ &quot;$&quot;* \-#,##0_ ;_ &quot;$&quot;* &quot;-&quot;_ ;_ @_ "/>
    <numFmt numFmtId="170" formatCode="0.000"/>
  </numFmts>
  <fonts count="5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20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 tint="-0.249977111117893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42" fontId="1" fillId="0" borderId="0" applyFont="0" applyFill="0" applyBorder="0" applyAlignment="0" applyProtection="0"/>
  </cellStyleXfs>
  <cellXfs count="23">
    <xf numFmtId="0" fontId="0" fillId="0" borderId="0" xfId="0"/>
    <xf numFmtId="0" fontId="0" fillId="0" borderId="1" xfId="0" applyBorder="1"/>
    <xf numFmtId="42" fontId="0" fillId="0" borderId="1" xfId="1" applyFont="1" applyBorder="1"/>
    <xf numFmtId="42" fontId="0" fillId="0" borderId="1" xfId="0" applyNumberFormat="1" applyBorder="1"/>
    <xf numFmtId="0" fontId="0" fillId="0" borderId="2" xfId="0" applyBorder="1"/>
    <xf numFmtId="0" fontId="0" fillId="0" borderId="2" xfId="0" applyBorder="1" applyAlignment="1">
      <alignment horizontal="center" vertical="center"/>
    </xf>
    <xf numFmtId="42" fontId="0" fillId="2" borderId="1" xfId="0" applyNumberFormat="1" applyFill="1" applyBorder="1"/>
    <xf numFmtId="14" fontId="0" fillId="0" borderId="1" xfId="0" applyNumberFormat="1" applyBorder="1"/>
    <xf numFmtId="42" fontId="0" fillId="2" borderId="1" xfId="1" applyFont="1" applyFill="1" applyBorder="1"/>
    <xf numFmtId="0" fontId="0" fillId="2" borderId="1" xfId="0" applyFill="1" applyBorder="1"/>
    <xf numFmtId="0" fontId="4" fillId="2" borderId="1" xfId="0" applyFont="1" applyFill="1" applyBorder="1"/>
    <xf numFmtId="0" fontId="2" fillId="0" borderId="1" xfId="0" applyFont="1" applyBorder="1"/>
    <xf numFmtId="0" fontId="2" fillId="2" borderId="1" xfId="0" applyFont="1" applyFill="1" applyBorder="1"/>
    <xf numFmtId="0" fontId="2" fillId="2" borderId="1" xfId="0" applyFont="1" applyFill="1" applyBorder="1" applyAlignment="1">
      <alignment horizontal="center" wrapText="1"/>
    </xf>
    <xf numFmtId="0" fontId="3" fillId="3" borderId="3" xfId="0" applyFont="1" applyFill="1" applyBorder="1" applyAlignment="1">
      <alignment horizontal="center"/>
    </xf>
    <xf numFmtId="0" fontId="3" fillId="3" borderId="4" xfId="0" applyFont="1" applyFill="1" applyBorder="1" applyAlignment="1">
      <alignment horizontal="center"/>
    </xf>
    <xf numFmtId="0" fontId="0" fillId="5" borderId="1" xfId="0" applyFill="1" applyBorder="1"/>
    <xf numFmtId="170" fontId="0" fillId="5" borderId="1" xfId="0" applyNumberFormat="1" applyFill="1" applyBorder="1"/>
    <xf numFmtId="0" fontId="3" fillId="3" borderId="5" xfId="0" applyFont="1" applyFill="1" applyBorder="1" applyAlignment="1">
      <alignment horizontal="center"/>
    </xf>
    <xf numFmtId="0" fontId="3" fillId="3" borderId="6" xfId="0" applyFont="1" applyFill="1" applyBorder="1" applyAlignment="1">
      <alignment horizontal="center"/>
    </xf>
    <xf numFmtId="0" fontId="2" fillId="0" borderId="7" xfId="0" applyFont="1" applyBorder="1"/>
    <xf numFmtId="0" fontId="2" fillId="4" borderId="8" xfId="0" applyFont="1" applyFill="1" applyBorder="1"/>
    <xf numFmtId="0" fontId="2" fillId="0" borderId="9" xfId="0" applyFont="1" applyBorder="1"/>
  </cellXfs>
  <cellStyles count="2">
    <cellStyle name="Moneda [0]" xfId="1" builtinId="7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0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09761EAB-F6BD-403F-A5E9-FF93F0BF3680}">
  <we:reference id="WA104381100" version="1.2.0.1" store="Omex" storeType="OMEX"/>
  <we:alternateReferences>
    <we:reference id="WA104381100" version="1.2.0.1" store="WA104381100" storeType="OMEX"/>
  </we:alternateReferences>
  <we:properties/>
  <we:bindings/>
  <we:snapshot xmlns:r="http://schemas.openxmlformats.org/officeDocument/2006/relationships"/>
  <we:extLst>
    <a:ext xmlns:a="http://schemas.openxmlformats.org/drawingml/2006/main" uri="{7C84B067-C214-45C3-A712-C9D94CD141B2}">
      <we:customFunctionIdList>
        <we:customFunctionIds>_xldudf_INDICADORES_VALORUF</we:customFunctionIds>
        <we:customFunctionIds>_xldudf_INDICADORES_VALORUTM</we:customFunctionIds>
        <we:customFunctionIds>_xldudf_INDICADORES_VALORDOLAR</we:customFunctionIds>
        <we:customFunctionIds>_xldudf_INDICADORES_VALOREURO</we:customFunctionIds>
      </we:customFunctionIdList>
    </a:ext>
  </we:extLst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A9ADC5-A22F-451F-862C-E12A47392F9F}">
  <dimension ref="A2:G13"/>
  <sheetViews>
    <sheetView tabSelected="1" workbookViewId="0">
      <selection activeCell="F23" sqref="F23"/>
    </sheetView>
  </sheetViews>
  <sheetFormatPr baseColWidth="10" defaultRowHeight="14.4" x14ac:dyDescent="0.3"/>
  <cols>
    <col min="2" max="2" width="27" customWidth="1"/>
    <col min="3" max="3" width="11.6640625" customWidth="1"/>
    <col min="4" max="4" width="16" customWidth="1"/>
    <col min="5" max="5" width="3.88671875" customWidth="1"/>
    <col min="6" max="6" width="18.88671875" customWidth="1"/>
    <col min="7" max="7" width="26" customWidth="1"/>
    <col min="9" max="9" width="17.77734375" customWidth="1"/>
  </cols>
  <sheetData>
    <row r="2" spans="1:7" ht="26.4" thickBot="1" x14ac:dyDescent="0.55000000000000004">
      <c r="B2" s="18" t="s">
        <v>0</v>
      </c>
      <c r="C2" s="19"/>
      <c r="D2" s="19"/>
      <c r="E2" s="14"/>
      <c r="F2" s="14"/>
      <c r="G2" s="15"/>
    </row>
    <row r="3" spans="1:7" ht="15" thickBot="1" x14ac:dyDescent="0.35">
      <c r="B3" s="20" t="s">
        <v>12</v>
      </c>
      <c r="C3" s="21" t="s">
        <v>13</v>
      </c>
      <c r="D3" s="22"/>
    </row>
    <row r="4" spans="1:7" x14ac:dyDescent="0.3">
      <c r="B4" s="4"/>
      <c r="C4" s="4" t="s">
        <v>2</v>
      </c>
      <c r="D4" s="5" t="s">
        <v>3</v>
      </c>
      <c r="F4" s="11" t="s">
        <v>5</v>
      </c>
      <c r="G4" s="7">
        <f ca="1">TODAY()</f>
        <v>46134</v>
      </c>
    </row>
    <row r="5" spans="1:7" x14ac:dyDescent="0.3">
      <c r="B5" s="1" t="s">
        <v>1</v>
      </c>
      <c r="C5" s="1">
        <v>46.41</v>
      </c>
      <c r="D5" s="2">
        <f>C5*G5</f>
        <v>1857044.1707999997</v>
      </c>
      <c r="F5" s="11" t="s">
        <v>4</v>
      </c>
      <c r="G5" s="8">
        <v>40013.879999999997</v>
      </c>
    </row>
    <row r="6" spans="1:7" x14ac:dyDescent="0.3">
      <c r="B6" s="1" t="s">
        <v>17</v>
      </c>
      <c r="C6" s="16">
        <v>31</v>
      </c>
      <c r="D6" s="6">
        <f>C6*G5</f>
        <v>1240430.28</v>
      </c>
    </row>
    <row r="7" spans="1:7" ht="18" x14ac:dyDescent="0.35">
      <c r="F7" s="12" t="s">
        <v>11</v>
      </c>
      <c r="G7" s="10" t="s">
        <v>16</v>
      </c>
    </row>
    <row r="8" spans="1:7" x14ac:dyDescent="0.3">
      <c r="B8" s="1" t="s">
        <v>6</v>
      </c>
      <c r="C8" s="16">
        <v>3.1</v>
      </c>
      <c r="D8" s="6">
        <f>C8*G5</f>
        <v>124043.02799999999</v>
      </c>
    </row>
    <row r="9" spans="1:7" ht="28.8" x14ac:dyDescent="0.3">
      <c r="B9" s="1"/>
      <c r="C9" s="1"/>
      <c r="D9" s="1"/>
      <c r="F9" s="13" t="s">
        <v>14</v>
      </c>
      <c r="G9" s="9" t="s">
        <v>15</v>
      </c>
    </row>
    <row r="10" spans="1:7" x14ac:dyDescent="0.3">
      <c r="A10">
        <v>12</v>
      </c>
      <c r="B10" s="1" t="s">
        <v>9</v>
      </c>
      <c r="C10" s="1"/>
      <c r="D10" s="6">
        <f>((D$6-D$8)/A10)+1400</f>
        <v>94432.271000000008</v>
      </c>
    </row>
    <row r="11" spans="1:7" x14ac:dyDescent="0.3">
      <c r="A11">
        <v>24</v>
      </c>
      <c r="B11" s="1" t="s">
        <v>10</v>
      </c>
      <c r="C11" s="1"/>
      <c r="D11" s="3">
        <f>((D$6-D$8)/A11)+1400</f>
        <v>47916.135500000004</v>
      </c>
    </row>
    <row r="12" spans="1:7" x14ac:dyDescent="0.3">
      <c r="A12">
        <v>36</v>
      </c>
      <c r="B12" s="1" t="s">
        <v>7</v>
      </c>
      <c r="C12" s="17">
        <f>((C$6-C$8)/A12)+0.04</f>
        <v>0.81499999999999995</v>
      </c>
      <c r="D12" s="3">
        <f>(C12*G5)</f>
        <v>32611.312199999997</v>
      </c>
    </row>
    <row r="13" spans="1:7" x14ac:dyDescent="0.3">
      <c r="A13">
        <v>48</v>
      </c>
      <c r="B13" s="1" t="s">
        <v>8</v>
      </c>
      <c r="C13" s="17">
        <f>((C$6-C$8)/A13)+0.04</f>
        <v>0.62124999999999997</v>
      </c>
      <c r="D13" s="3">
        <f>(C13*G5)</f>
        <v>24858.622949999997</v>
      </c>
    </row>
  </sheetData>
  <mergeCells count="1">
    <mergeCell ref="B2:G2"/>
  </mergeCells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Kevin Castro Díaz</dc:creator>
  <cp:lastModifiedBy>Kevin Castro Díaz</cp:lastModifiedBy>
  <dcterms:created xsi:type="dcterms:W3CDTF">2026-04-22T19:57:38Z</dcterms:created>
  <dcterms:modified xsi:type="dcterms:W3CDTF">2026-04-22T20:36:09Z</dcterms:modified>
</cp:coreProperties>
</file>